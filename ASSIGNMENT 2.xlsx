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S WORKBOOK\"/>
    </mc:Choice>
  </mc:AlternateContent>
  <xr:revisionPtr revIDLastSave="0" documentId="13_ncr:1_{7F8397D2-278F-41EA-9AF8-6BC057EE9D4E}" xr6:coauthVersionLast="47" xr6:coauthVersionMax="47" xr10:uidLastSave="{00000000-0000-0000-0000-000000000000}"/>
  <bookViews>
    <workbookView xWindow="-110" yWindow="-110" windowWidth="19420" windowHeight="10300" xr2:uid="{52B1A165-A99E-47CD-8AEB-BE4258468E20}"/>
  </bookViews>
  <sheets>
    <sheet name="Sheet1" sheetId="3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F12" i="5"/>
  <c r="G12" i="5" s="1"/>
  <c r="E12" i="5"/>
  <c r="D12" i="5"/>
  <c r="E11" i="5"/>
  <c r="F11" i="5" s="1"/>
  <c r="G11" i="5" s="1"/>
  <c r="D11" i="5"/>
  <c r="E10" i="5"/>
  <c r="F10" i="5" s="1"/>
  <c r="G10" i="5" s="1"/>
  <c r="D10" i="5"/>
  <c r="F9" i="5"/>
  <c r="G9" i="5" s="1"/>
  <c r="E9" i="5"/>
  <c r="D9" i="5"/>
  <c r="E8" i="5"/>
  <c r="F8" i="5" s="1"/>
  <c r="G8" i="5" s="1"/>
  <c r="D8" i="5"/>
  <c r="E7" i="5"/>
  <c r="F7" i="5" s="1"/>
  <c r="G7" i="5" s="1"/>
  <c r="D7" i="5"/>
  <c r="G16" i="5" s="1"/>
  <c r="F6" i="5"/>
  <c r="G6" i="5" s="1"/>
  <c r="E6" i="5"/>
  <c r="D6" i="5"/>
  <c r="E5" i="5"/>
  <c r="F5" i="5" s="1"/>
  <c r="G5" i="5" s="1"/>
  <c r="D5" i="5"/>
  <c r="G17" i="5" l="1"/>
  <c r="G13" i="5"/>
  <c r="D13" i="5"/>
  <c r="F16" i="3" l="1"/>
  <c r="B16" i="3"/>
  <c r="D15" i="3"/>
  <c r="E15" i="3" s="1"/>
  <c r="F15" i="3" s="1"/>
  <c r="C15" i="3"/>
  <c r="C14" i="3"/>
  <c r="C13" i="3"/>
  <c r="D13" i="3" s="1"/>
  <c r="E13" i="3" s="1"/>
  <c r="F13" i="3" s="1"/>
  <c r="C12" i="3"/>
  <c r="C11" i="3"/>
  <c r="C10" i="3"/>
  <c r="C9" i="3"/>
  <c r="C8" i="3"/>
  <c r="D7" i="3"/>
  <c r="E7" i="3" s="1"/>
  <c r="F7" i="3" s="1"/>
  <c r="C7" i="3"/>
  <c r="C16" i="3" s="1"/>
  <c r="C17" i="3" s="1"/>
  <c r="C6" i="3"/>
  <c r="D8" i="3" l="1"/>
  <c r="E8" i="3" s="1"/>
  <c r="F8" i="3" s="1"/>
  <c r="D11" i="3"/>
  <c r="E11" i="3" s="1"/>
  <c r="F11" i="3" s="1"/>
  <c r="D12" i="3"/>
  <c r="E12" i="3" s="1"/>
  <c r="F12" i="3" s="1"/>
  <c r="D14" i="3"/>
  <c r="E14" i="3" s="1"/>
  <c r="F14" i="3" s="1"/>
  <c r="D6" i="3"/>
  <c r="E6" i="3" s="1"/>
  <c r="F6" i="3" s="1"/>
  <c r="D9" i="3"/>
  <c r="E9" i="3" s="1"/>
  <c r="F9" i="3" s="1"/>
  <c r="D10" i="3"/>
  <c r="E10" i="3" s="1"/>
  <c r="F10" i="3" s="1"/>
  <c r="F17" i="3" l="1"/>
  <c r="F19" i="3" s="1"/>
  <c r="F18" i="3"/>
  <c r="F20" i="3" s="1"/>
</calcChain>
</file>

<file path=xl/sharedStrings.xml><?xml version="1.0" encoding="utf-8"?>
<sst xmlns="http://schemas.openxmlformats.org/spreadsheetml/2006/main" count="34" uniqueCount="33">
  <si>
    <t>x</t>
  </si>
  <si>
    <t>f</t>
  </si>
  <si>
    <t>fx</t>
  </si>
  <si>
    <t>x-mean</t>
  </si>
  <si>
    <t>(x-mean)^2</t>
  </si>
  <si>
    <t>f(x-mean)^2</t>
  </si>
  <si>
    <t>Population Variance</t>
  </si>
  <si>
    <t>Sample Variance</t>
  </si>
  <si>
    <t>Population Standard Deviation</t>
  </si>
  <si>
    <t>Sample Standard Deviation</t>
  </si>
  <si>
    <t>Q4) Find the variance and standard deviation. The costs per load (in cents) of 35 laundry detergents tested by a consumer organization are shown here.</t>
  </si>
  <si>
    <t>Assignment no.2: Population and Sample Spread without using Built-in Functions of Excel</t>
  </si>
  <si>
    <t>Q3) Create a hypothetical data set of 10 groups with their relative frequencies. Present the formulas for population variance, sample variance, population std.dev. and sample std.dev. Without using built-in formula in excel compute each of the estimates.</t>
  </si>
  <si>
    <t>13-19</t>
  </si>
  <si>
    <t>20-26</t>
  </si>
  <si>
    <t>27-33</t>
  </si>
  <si>
    <t>34-40</t>
  </si>
  <si>
    <t>41-47</t>
  </si>
  <si>
    <t>48-54</t>
  </si>
  <si>
    <t>55-61</t>
  </si>
  <si>
    <t>62-68</t>
  </si>
  <si>
    <t>Class Limits (A)</t>
  </si>
  <si>
    <t>Frequency (f) (B)</t>
  </si>
  <si>
    <t>Midpoint (x) (C)</t>
  </si>
  <si>
    <t>f*x (D)</t>
  </si>
  <si>
    <t>x - Mean (E)</t>
  </si>
  <si>
    <t>(x-Mean)^2 (F)</t>
  </si>
  <si>
    <t>f*(x-Mean)^2 (G)</t>
  </si>
  <si>
    <t>Total</t>
  </si>
  <si>
    <r>
      <t>=SUM(B2:B9)</t>
    </r>
    <r>
      <rPr>
        <sz val="11"/>
        <color rgb="FF1F1F1F"/>
        <rFont val="Aptos Narrow"/>
        <family val="2"/>
      </rPr>
      <t xml:space="preserve"> (n)</t>
    </r>
  </si>
  <si>
    <t>calculations</t>
  </si>
  <si>
    <t>mean</t>
  </si>
  <si>
    <t>Sample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</si>
</sst>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</font>
    <font>
      <sz val="11"/>
      <color rgb="FF1F1F1F"/>
      <name val="Aptos Narrow"/>
      <family val="2"/>
    </font>
    <font>
      <sz val="10"/>
      <color rgb="FF44474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692B-DA20-4EA4-A0D0-D10A59B017CE}">
  <dimension ref="A1:R20"/>
  <sheetViews>
    <sheetView tabSelected="1" zoomScale="79" workbookViewId="0">
      <selection activeCell="G5" sqref="A5:G5"/>
    </sheetView>
  </sheetViews>
  <sheetFormatPr defaultRowHeight="14.5" x14ac:dyDescent="0.35"/>
  <sheetData>
    <row r="1" spans="1:18" x14ac:dyDescent="0.3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3" spans="1:18" x14ac:dyDescent="0.35">
      <c r="A3" t="s">
        <v>12</v>
      </c>
    </row>
    <row r="5" spans="1:18" x14ac:dyDescent="0.35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/>
    </row>
    <row r="6" spans="1:18" x14ac:dyDescent="0.35">
      <c r="A6">
        <v>10</v>
      </c>
      <c r="B6">
        <v>5</v>
      </c>
      <c r="C6">
        <f>A6*B6</f>
        <v>50</v>
      </c>
      <c r="D6">
        <f>A6-$C$13</f>
        <v>-125</v>
      </c>
      <c r="E6">
        <f>D6^2</f>
        <v>15625</v>
      </c>
      <c r="F6">
        <f>B6*E6</f>
        <v>78125</v>
      </c>
    </row>
    <row r="7" spans="1:18" x14ac:dyDescent="0.35">
      <c r="A7">
        <v>50</v>
      </c>
      <c r="B7">
        <v>4</v>
      </c>
      <c r="C7">
        <f t="shared" ref="C7:C15" si="0">A7*B7</f>
        <v>200</v>
      </c>
      <c r="D7">
        <f t="shared" ref="D7:D15" si="1">A7-$C$13</f>
        <v>-85</v>
      </c>
      <c r="E7">
        <f t="shared" ref="E7:E15" si="2">D7^2</f>
        <v>7225</v>
      </c>
      <c r="F7">
        <f t="shared" ref="F7:F15" si="3">B7*E7</f>
        <v>28900</v>
      </c>
    </row>
    <row r="8" spans="1:18" x14ac:dyDescent="0.35">
      <c r="A8">
        <v>14</v>
      </c>
      <c r="B8">
        <v>5</v>
      </c>
      <c r="C8">
        <f t="shared" si="0"/>
        <v>70</v>
      </c>
      <c r="D8">
        <f t="shared" si="1"/>
        <v>-121</v>
      </c>
      <c r="E8">
        <f t="shared" si="2"/>
        <v>14641</v>
      </c>
      <c r="F8">
        <f t="shared" si="3"/>
        <v>73205</v>
      </c>
    </row>
    <row r="9" spans="1:18" x14ac:dyDescent="0.35">
      <c r="A9">
        <v>82</v>
      </c>
      <c r="B9">
        <v>3</v>
      </c>
      <c r="C9">
        <f t="shared" si="0"/>
        <v>246</v>
      </c>
      <c r="D9">
        <f t="shared" si="1"/>
        <v>-53</v>
      </c>
      <c r="E9">
        <f t="shared" si="2"/>
        <v>2809</v>
      </c>
      <c r="F9">
        <f t="shared" si="3"/>
        <v>8427</v>
      </c>
    </row>
    <row r="10" spans="1:18" x14ac:dyDescent="0.35">
      <c r="A10">
        <v>66</v>
      </c>
      <c r="B10">
        <v>2</v>
      </c>
      <c r="C10">
        <f t="shared" si="0"/>
        <v>132</v>
      </c>
      <c r="D10">
        <f t="shared" si="1"/>
        <v>-69</v>
      </c>
      <c r="E10">
        <f t="shared" si="2"/>
        <v>4761</v>
      </c>
      <c r="F10">
        <f t="shared" si="3"/>
        <v>9522</v>
      </c>
    </row>
    <row r="11" spans="1:18" x14ac:dyDescent="0.35">
      <c r="A11">
        <v>60</v>
      </c>
      <c r="B11">
        <v>2</v>
      </c>
      <c r="C11">
        <f t="shared" si="0"/>
        <v>120</v>
      </c>
      <c r="D11">
        <f t="shared" si="1"/>
        <v>-75</v>
      </c>
      <c r="E11">
        <f t="shared" si="2"/>
        <v>5625</v>
      </c>
      <c r="F11">
        <f t="shared" si="3"/>
        <v>11250</v>
      </c>
    </row>
    <row r="12" spans="1:18" x14ac:dyDescent="0.35">
      <c r="A12">
        <v>70</v>
      </c>
      <c r="B12">
        <v>4</v>
      </c>
      <c r="C12">
        <f t="shared" si="0"/>
        <v>280</v>
      </c>
      <c r="D12">
        <f t="shared" si="1"/>
        <v>-65</v>
      </c>
      <c r="E12">
        <f t="shared" si="2"/>
        <v>4225</v>
      </c>
      <c r="F12">
        <f t="shared" si="3"/>
        <v>16900</v>
      </c>
    </row>
    <row r="13" spans="1:18" x14ac:dyDescent="0.35">
      <c r="A13">
        <v>45</v>
      </c>
      <c r="B13">
        <v>3</v>
      </c>
      <c r="C13">
        <f t="shared" si="0"/>
        <v>135</v>
      </c>
      <c r="D13">
        <f t="shared" si="1"/>
        <v>-90</v>
      </c>
      <c r="E13">
        <f t="shared" si="2"/>
        <v>8100</v>
      </c>
      <c r="F13">
        <f t="shared" si="3"/>
        <v>24300</v>
      </c>
    </row>
    <row r="14" spans="1:18" x14ac:dyDescent="0.35">
      <c r="A14">
        <v>90</v>
      </c>
      <c r="B14">
        <v>2</v>
      </c>
      <c r="C14">
        <f t="shared" si="0"/>
        <v>180</v>
      </c>
      <c r="D14">
        <f t="shared" si="1"/>
        <v>-45</v>
      </c>
      <c r="E14">
        <f t="shared" si="2"/>
        <v>2025</v>
      </c>
      <c r="F14">
        <f t="shared" si="3"/>
        <v>4050</v>
      </c>
    </row>
    <row r="15" spans="1:18" x14ac:dyDescent="0.35">
      <c r="A15">
        <v>24</v>
      </c>
      <c r="B15">
        <v>1</v>
      </c>
      <c r="C15">
        <f t="shared" si="0"/>
        <v>24</v>
      </c>
      <c r="D15">
        <f t="shared" si="1"/>
        <v>-111</v>
      </c>
      <c r="E15">
        <f t="shared" si="2"/>
        <v>12321</v>
      </c>
      <c r="F15">
        <f t="shared" si="3"/>
        <v>12321</v>
      </c>
    </row>
    <row r="16" spans="1:18" x14ac:dyDescent="0.35">
      <c r="A16" s="6"/>
      <c r="B16" s="6">
        <f>SUM(B6:B15)</f>
        <v>31</v>
      </c>
      <c r="C16" s="6">
        <f>SUM(C6:C15)</f>
        <v>1437</v>
      </c>
      <c r="D16" s="6"/>
      <c r="E16" s="6"/>
      <c r="F16" s="6">
        <f>SUM(F6:F15)</f>
        <v>267000</v>
      </c>
      <c r="G16" s="6"/>
      <c r="H16" s="6"/>
    </row>
    <row r="17" spans="3:7" x14ac:dyDescent="0.35">
      <c r="C17">
        <f>C16/B16</f>
        <v>46.354838709677416</v>
      </c>
      <c r="F17">
        <f>F16/B16</f>
        <v>8612.9032258064508</v>
      </c>
      <c r="G17" t="s">
        <v>6</v>
      </c>
    </row>
    <row r="18" spans="3:7" x14ac:dyDescent="0.35">
      <c r="F18">
        <f>F16/(B16-1)</f>
        <v>8900</v>
      </c>
      <c r="G18" t="s">
        <v>7</v>
      </c>
    </row>
    <row r="19" spans="3:7" x14ac:dyDescent="0.35">
      <c r="F19">
        <f>SQRT(F17)</f>
        <v>92.805728410515968</v>
      </c>
      <c r="G19" t="s">
        <v>8</v>
      </c>
    </row>
    <row r="20" spans="3:7" x14ac:dyDescent="0.35">
      <c r="F20">
        <f>SQRT(F18)</f>
        <v>94.339811320566042</v>
      </c>
      <c r="G20" t="s">
        <v>9</v>
      </c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ECC1-23F0-42E8-9594-CC0DA6CDF293}">
  <dimension ref="A2:G18"/>
  <sheetViews>
    <sheetView zoomScale="62" zoomScaleNormal="66" workbookViewId="0">
      <selection activeCell="H24" sqref="H24"/>
    </sheetView>
  </sheetViews>
  <sheetFormatPr defaultRowHeight="14.5" x14ac:dyDescent="0.35"/>
  <cols>
    <col min="6" max="6" width="14.6328125" customWidth="1"/>
  </cols>
  <sheetData>
    <row r="2" spans="1:7" x14ac:dyDescent="0.35">
      <c r="A2" t="s">
        <v>10</v>
      </c>
    </row>
    <row r="3" spans="1:7" ht="15" thickBot="1" x14ac:dyDescent="0.4"/>
    <row r="4" spans="1:7" ht="44" thickBot="1" x14ac:dyDescent="0.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ht="15" thickBot="1" x14ac:dyDescent="0.4">
      <c r="A5" s="2" t="s">
        <v>13</v>
      </c>
      <c r="B5" s="2">
        <v>2</v>
      </c>
      <c r="C5" s="2">
        <v>16</v>
      </c>
      <c r="D5" s="3">
        <f>B5*C5</f>
        <v>32</v>
      </c>
      <c r="E5" s="3">
        <f>C5-$J$1</f>
        <v>16</v>
      </c>
      <c r="F5" s="3">
        <f>E5^2</f>
        <v>256</v>
      </c>
      <c r="G5" s="3">
        <f>B5*F5</f>
        <v>512</v>
      </c>
    </row>
    <row r="6" spans="1:7" ht="15" thickBot="1" x14ac:dyDescent="0.4">
      <c r="A6" s="2" t="s">
        <v>14</v>
      </c>
      <c r="B6" s="2">
        <v>7</v>
      </c>
      <c r="C6" s="2">
        <v>23</v>
      </c>
      <c r="D6" s="3">
        <f t="shared" ref="D6:D12" si="0">B6*C6</f>
        <v>161</v>
      </c>
      <c r="E6" s="3">
        <f t="shared" ref="E6:E12" si="1">C6-$J$1</f>
        <v>23</v>
      </c>
      <c r="F6" s="3">
        <f t="shared" ref="F6:F12" si="2">E6^2</f>
        <v>529</v>
      </c>
      <c r="G6" s="3">
        <f t="shared" ref="G6:G12" si="3">B6*F6</f>
        <v>3703</v>
      </c>
    </row>
    <row r="7" spans="1:7" ht="15" thickBot="1" x14ac:dyDescent="0.4">
      <c r="A7" s="2" t="s">
        <v>15</v>
      </c>
      <c r="B7" s="2">
        <v>12</v>
      </c>
      <c r="C7" s="2">
        <v>30</v>
      </c>
      <c r="D7" s="3">
        <f t="shared" si="0"/>
        <v>360</v>
      </c>
      <c r="E7" s="3">
        <f t="shared" si="1"/>
        <v>30</v>
      </c>
      <c r="F7" s="3">
        <f t="shared" si="2"/>
        <v>900</v>
      </c>
      <c r="G7" s="3">
        <f t="shared" si="3"/>
        <v>10800</v>
      </c>
    </row>
    <row r="8" spans="1:7" ht="15" thickBot="1" x14ac:dyDescent="0.4">
      <c r="A8" s="2" t="s">
        <v>16</v>
      </c>
      <c r="B8" s="2">
        <v>5</v>
      </c>
      <c r="C8" s="2">
        <v>37</v>
      </c>
      <c r="D8" s="3">
        <f t="shared" si="0"/>
        <v>185</v>
      </c>
      <c r="E8" s="3">
        <f t="shared" si="1"/>
        <v>37</v>
      </c>
      <c r="F8" s="3">
        <f t="shared" si="2"/>
        <v>1369</v>
      </c>
      <c r="G8" s="3">
        <f t="shared" si="3"/>
        <v>6845</v>
      </c>
    </row>
    <row r="9" spans="1:7" ht="15" thickBot="1" x14ac:dyDescent="0.4">
      <c r="A9" s="2" t="s">
        <v>17</v>
      </c>
      <c r="B9" s="2">
        <v>6</v>
      </c>
      <c r="C9" s="2">
        <v>44</v>
      </c>
      <c r="D9" s="3">
        <f t="shared" si="0"/>
        <v>264</v>
      </c>
      <c r="E9" s="3">
        <f t="shared" si="1"/>
        <v>44</v>
      </c>
      <c r="F9" s="3">
        <f t="shared" si="2"/>
        <v>1936</v>
      </c>
      <c r="G9" s="3">
        <f t="shared" si="3"/>
        <v>11616</v>
      </c>
    </row>
    <row r="10" spans="1:7" ht="15" thickBot="1" x14ac:dyDescent="0.4">
      <c r="A10" s="2" t="s">
        <v>18</v>
      </c>
      <c r="B10" s="2">
        <v>1</v>
      </c>
      <c r="C10" s="2">
        <v>51</v>
      </c>
      <c r="D10" s="3">
        <f t="shared" si="0"/>
        <v>51</v>
      </c>
      <c r="E10" s="3">
        <f t="shared" si="1"/>
        <v>51</v>
      </c>
      <c r="F10" s="3">
        <f t="shared" si="2"/>
        <v>2601</v>
      </c>
      <c r="G10" s="3">
        <f t="shared" si="3"/>
        <v>2601</v>
      </c>
    </row>
    <row r="11" spans="1:7" ht="15" thickBot="1" x14ac:dyDescent="0.4">
      <c r="A11" s="2" t="s">
        <v>19</v>
      </c>
      <c r="B11" s="2">
        <v>0</v>
      </c>
      <c r="C11" s="2">
        <v>58</v>
      </c>
      <c r="D11" s="3">
        <f t="shared" si="0"/>
        <v>0</v>
      </c>
      <c r="E11" s="3">
        <f t="shared" si="1"/>
        <v>58</v>
      </c>
      <c r="F11" s="3">
        <f t="shared" si="2"/>
        <v>3364</v>
      </c>
      <c r="G11" s="3">
        <f t="shared" si="3"/>
        <v>0</v>
      </c>
    </row>
    <row r="12" spans="1:7" ht="15" thickBot="1" x14ac:dyDescent="0.4">
      <c r="A12" s="2" t="s">
        <v>20</v>
      </c>
      <c r="B12" s="2">
        <v>2</v>
      </c>
      <c r="C12" s="2">
        <v>65</v>
      </c>
      <c r="D12" s="3">
        <f t="shared" si="0"/>
        <v>130</v>
      </c>
      <c r="E12" s="3">
        <f t="shared" si="1"/>
        <v>65</v>
      </c>
      <c r="F12" s="3">
        <f t="shared" si="2"/>
        <v>4225</v>
      </c>
      <c r="G12" s="3">
        <f t="shared" si="3"/>
        <v>8450</v>
      </c>
    </row>
    <row r="13" spans="1:7" ht="28" thickBot="1" x14ac:dyDescent="0.4">
      <c r="A13" s="1" t="s">
        <v>28</v>
      </c>
      <c r="B13" s="3" t="s">
        <v>29</v>
      </c>
      <c r="C13" s="2"/>
      <c r="D13" s="3">
        <f>SUM(D5:D12)</f>
        <v>1183</v>
      </c>
      <c r="E13" s="2"/>
      <c r="F13" s="2"/>
      <c r="G13" s="3">
        <f>SUM(G5:G12)</f>
        <v>44527</v>
      </c>
    </row>
    <row r="15" spans="1:7" ht="29" x14ac:dyDescent="0.35">
      <c r="A15" s="4" t="s">
        <v>30</v>
      </c>
    </row>
    <row r="16" spans="1:7" x14ac:dyDescent="0.35">
      <c r="F16" t="s">
        <v>31</v>
      </c>
      <c r="G16">
        <f>SUM(D5:D12) / SUM(B5:B12)</f>
        <v>33.799999999999997</v>
      </c>
    </row>
    <row r="17" spans="6:7" x14ac:dyDescent="0.35">
      <c r="F17" t="s">
        <v>7</v>
      </c>
      <c r="G17">
        <f>SUM(G5:G12) / (SUM(B5:B12) - 1)</f>
        <v>1309.6176470588234</v>
      </c>
    </row>
    <row r="18" spans="6:7" x14ac:dyDescent="0.35">
      <c r="F18" t="s">
        <v>32</v>
      </c>
      <c r="G18">
        <f>SQRT(1309.618)</f>
        <v>36.188644627838713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SDBI</cp:lastModifiedBy>
  <dcterms:created xsi:type="dcterms:W3CDTF">2026-01-21T18:29:53Z</dcterms:created>
  <dcterms:modified xsi:type="dcterms:W3CDTF">2026-01-22T03:36:18Z</dcterms:modified>
</cp:coreProperties>
</file>