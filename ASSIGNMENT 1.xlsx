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51446F8A-AA06-4AB7-B237-6D6AE097B6B2}" xr6:coauthVersionLast="47" xr6:coauthVersionMax="47" xr10:uidLastSave="{00000000-0000-0000-0000-000000000000}"/>
  <bookViews>
    <workbookView xWindow="-110" yWindow="-110" windowWidth="19420" windowHeight="10300" xr2:uid="{AECBD1B5-5D6E-4871-947D-8463B3D30470}"/>
  </bookViews>
  <sheets>
    <sheet name="Sheet1" sheetId="1" r:id="rId1"/>
    <sheet name="Sheet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0" i="5"/>
  <c r="I11" i="5"/>
  <c r="D14" i="1"/>
  <c r="D11" i="5"/>
  <c r="I10" i="5"/>
  <c r="I9" i="5"/>
  <c r="I8" i="5"/>
  <c r="D9" i="5"/>
  <c r="D8" i="5"/>
  <c r="D16" i="1"/>
  <c r="D15" i="1"/>
  <c r="D13" i="1"/>
  <c r="D12" i="1"/>
  <c r="D11" i="1"/>
  <c r="D9" i="1"/>
  <c r="D8" i="1"/>
</calcChain>
</file>

<file path=xl/sharedStrings.xml><?xml version="1.0" encoding="utf-8"?>
<sst xmlns="http://schemas.openxmlformats.org/spreadsheetml/2006/main" count="34" uniqueCount="25">
  <si>
    <t>Assignment no.1: Excel Built-in Functions for Descriptive Statistics</t>
  </si>
  <si>
    <t>Q3) Create a hypothetical data set of 15 observations and compute the estimations on excel.</t>
  </si>
  <si>
    <t>Values</t>
  </si>
  <si>
    <t>ESTIMATIONS</t>
  </si>
  <si>
    <t>MEAN</t>
  </si>
  <si>
    <t xml:space="preserve">MEDIAN </t>
  </si>
  <si>
    <t>MODE</t>
  </si>
  <si>
    <t>MINIMUM</t>
  </si>
  <si>
    <t>MAXIMUM</t>
  </si>
  <si>
    <t>RANGE</t>
  </si>
  <si>
    <t>MID RANGE</t>
  </si>
  <si>
    <t>POP VARIANCE</t>
  </si>
  <si>
    <t>POP STD DEV</t>
  </si>
  <si>
    <t>Q4) Populations for towns and cities of 5000 or more (based on the 2004 figures) in the</t>
  </si>
  <si>
    <t>42XXXX zip code area are listed here for two different years. Find the mean, median, mode,</t>
  </si>
  <si>
    <t>and midrange for each set of data. What do your findings suggest?</t>
  </si>
  <si>
    <t xml:space="preserve"> DATASET :2004</t>
  </si>
  <si>
    <t>MEDIAN</t>
  </si>
  <si>
    <t>DATASET : 1990</t>
  </si>
  <si>
    <r>
      <t xml:space="preserve">1. The </t>
    </r>
    <r>
      <rPr>
        <b/>
        <sz val="11"/>
        <color theme="1"/>
        <rFont val="Aptos Narrow"/>
        <family val="2"/>
        <scheme val="minor"/>
      </rPr>
      <t>mean population</t>
    </r>
    <r>
      <rPr>
        <sz val="11"/>
        <color theme="1"/>
        <rFont val="Aptos Narrow"/>
        <family val="2"/>
        <scheme val="minor"/>
      </rPr>
      <t xml:space="preserve"> is higher in </t>
    </r>
    <r>
      <rPr>
        <b/>
        <sz val="11"/>
        <color theme="1"/>
        <rFont val="Aptos Narrow"/>
        <family val="2"/>
        <scheme val="minor"/>
      </rPr>
      <t>1990</t>
    </r>
    <r>
      <rPr>
        <sz val="11"/>
        <color theme="1"/>
        <rFont val="Aptos Narrow"/>
        <family val="2"/>
        <scheme val="minor"/>
      </rPr>
      <t xml:space="preserve"> than in </t>
    </r>
    <r>
      <rPr>
        <b/>
        <sz val="11"/>
        <color theme="1"/>
        <rFont val="Aptos Narrow"/>
        <family val="2"/>
        <scheme val="minor"/>
      </rPr>
      <t>2004</t>
    </r>
    <r>
      <rPr>
        <sz val="11"/>
        <color theme="1"/>
        <rFont val="Aptos Narrow"/>
        <family val="2"/>
        <scheme val="minor"/>
      </rPr>
      <t>, mainly due to the presence of a very large population value (21,923) in 1990.</t>
    </r>
  </si>
  <si>
    <r>
      <t xml:space="preserve">2. The </t>
    </r>
    <r>
      <rPr>
        <b/>
        <sz val="11"/>
        <color theme="1"/>
        <rFont val="Aptos Narrow"/>
        <family val="2"/>
        <scheme val="minor"/>
      </rPr>
      <t>median</t>
    </r>
    <r>
      <rPr>
        <sz val="11"/>
        <color theme="1"/>
        <rFont val="Aptos Narrow"/>
        <family val="2"/>
        <scheme val="minor"/>
      </rPr>
      <t xml:space="preserve"> is lower than the mean in both years, indicating </t>
    </r>
    <r>
      <rPr>
        <b/>
        <sz val="11"/>
        <color theme="1"/>
        <rFont val="Aptos Narrow"/>
        <family val="2"/>
        <scheme val="minor"/>
      </rPr>
      <t>positive (right) skewness</t>
    </r>
    <r>
      <rPr>
        <sz val="11"/>
        <color theme="1"/>
        <rFont val="Aptos Narrow"/>
        <family val="2"/>
        <scheme val="minor"/>
      </rPr>
      <t>.</t>
    </r>
  </si>
  <si>
    <r>
      <t xml:space="preserve">3. The </t>
    </r>
    <r>
      <rPr>
        <b/>
        <sz val="11"/>
        <color theme="1"/>
        <rFont val="Aptos Narrow"/>
        <family val="2"/>
        <scheme val="minor"/>
      </rPr>
      <t>midrange</t>
    </r>
    <r>
      <rPr>
        <sz val="11"/>
        <color theme="1"/>
        <rFont val="Aptos Narrow"/>
        <family val="2"/>
        <scheme val="minor"/>
      </rPr>
      <t xml:space="preserve"> is much larger than the median in both datasets, especially in 1990, showing that midrange is strongly affected by extreme values.</t>
    </r>
  </si>
  <si>
    <t>4. No mode exists, indicating that population sizes vary widely among towns and cities.</t>
  </si>
  <si>
    <t>FINDING SUGGEST THAT-:</t>
  </si>
  <si>
    <t>5.The mean and midrange are influenced by extreme values, while the median provides a more reliable measure of central tendency.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</si>
</sst>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45F9-0CAC-4240-A36A-321752E789B1}">
  <dimension ref="A1:U22"/>
  <sheetViews>
    <sheetView tabSelected="1" topLeftCell="A8" zoomScale="86" workbookViewId="0">
      <selection activeCell="E16" sqref="E16"/>
    </sheetView>
  </sheetViews>
  <sheetFormatPr defaultRowHeight="14.5" x14ac:dyDescent="0.35"/>
  <cols>
    <col min="3" max="3" width="14.453125" customWidth="1"/>
  </cols>
  <sheetData>
    <row r="1" spans="1:21" ht="16" x14ac:dyDescent="0.4">
      <c r="A1" s="6"/>
      <c r="B1" s="6"/>
      <c r="C1" s="6"/>
      <c r="D1" s="6"/>
      <c r="E1" s="6"/>
      <c r="F1" s="6"/>
      <c r="G1" s="6"/>
      <c r="H1" s="7" t="s">
        <v>0</v>
      </c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4" spans="1:21" x14ac:dyDescent="0.35">
      <c r="A4" s="8" t="s">
        <v>1</v>
      </c>
      <c r="B4" s="8"/>
      <c r="C4" s="8"/>
      <c r="D4" s="8"/>
      <c r="E4" s="8"/>
      <c r="F4" s="8"/>
      <c r="G4" s="8"/>
      <c r="H4" s="8"/>
      <c r="I4" s="8"/>
    </row>
    <row r="6" spans="1:21" x14ac:dyDescent="0.35">
      <c r="A6" s="1" t="s">
        <v>2</v>
      </c>
      <c r="C6" t="s">
        <v>3</v>
      </c>
    </row>
    <row r="7" spans="1:21" x14ac:dyDescent="0.35">
      <c r="A7" s="2">
        <v>12</v>
      </c>
    </row>
    <row r="8" spans="1:21" x14ac:dyDescent="0.35">
      <c r="A8" s="2">
        <v>15</v>
      </c>
      <c r="C8" t="s">
        <v>4</v>
      </c>
      <c r="D8">
        <f>AVERAGE(A7:A22)</f>
        <v>27.933333333333334</v>
      </c>
    </row>
    <row r="9" spans="1:21" x14ac:dyDescent="0.35">
      <c r="A9" s="2">
        <v>18</v>
      </c>
      <c r="C9" t="s">
        <v>5</v>
      </c>
      <c r="D9">
        <f>MEDIAN(A7:A22)</f>
        <v>27</v>
      </c>
    </row>
    <row r="10" spans="1:21" x14ac:dyDescent="0.35">
      <c r="A10" s="2">
        <v>20</v>
      </c>
      <c r="C10" t="s">
        <v>6</v>
      </c>
      <c r="D10">
        <f>MODE(A7:A21)</f>
        <v>25</v>
      </c>
    </row>
    <row r="11" spans="1:21" x14ac:dyDescent="0.35">
      <c r="A11" s="2">
        <v>22</v>
      </c>
      <c r="C11" t="s">
        <v>7</v>
      </c>
      <c r="D11">
        <f>MIN(A7:A21)</f>
        <v>12</v>
      </c>
    </row>
    <row r="12" spans="1:21" x14ac:dyDescent="0.35">
      <c r="A12" s="2">
        <v>25</v>
      </c>
      <c r="C12" t="s">
        <v>8</v>
      </c>
      <c r="D12">
        <f>MAX(A7:A21)</f>
        <v>45</v>
      </c>
    </row>
    <row r="13" spans="1:21" x14ac:dyDescent="0.35">
      <c r="A13" s="2">
        <v>25</v>
      </c>
      <c r="C13" t="s">
        <v>9</v>
      </c>
      <c r="D13">
        <f>MAX(A7:A21)- MIN(A7:A21)</f>
        <v>33</v>
      </c>
    </row>
    <row r="14" spans="1:21" x14ac:dyDescent="0.35">
      <c r="A14" s="2">
        <v>27</v>
      </c>
      <c r="C14" t="s">
        <v>10</v>
      </c>
      <c r="D14">
        <f>(MAX(A7:A21)+MIN(A7:A21))/2</f>
        <v>28.5</v>
      </c>
    </row>
    <row r="15" spans="1:21" x14ac:dyDescent="0.35">
      <c r="A15" s="2">
        <v>30</v>
      </c>
      <c r="C15" t="s">
        <v>11</v>
      </c>
      <c r="D15">
        <f>_xlfn.VAR.P(A7:A21)</f>
        <v>86.328888888888883</v>
      </c>
    </row>
    <row r="16" spans="1:21" x14ac:dyDescent="0.35">
      <c r="A16" s="2">
        <v>32</v>
      </c>
      <c r="C16" t="s">
        <v>12</v>
      </c>
      <c r="D16">
        <f>_xlfn.STDEV.P(A7:A21)</f>
        <v>9.2913340747649844</v>
      </c>
    </row>
    <row r="17" spans="1:1" x14ac:dyDescent="0.35">
      <c r="A17" s="2">
        <v>35</v>
      </c>
    </row>
    <row r="18" spans="1:1" x14ac:dyDescent="0.35">
      <c r="A18" s="2">
        <v>35</v>
      </c>
    </row>
    <row r="19" spans="1:1" x14ac:dyDescent="0.35">
      <c r="A19" s="2">
        <v>38</v>
      </c>
    </row>
    <row r="20" spans="1:1" x14ac:dyDescent="0.35">
      <c r="A20" s="2">
        <v>40</v>
      </c>
    </row>
    <row r="21" spans="1:1" x14ac:dyDescent="0.35">
      <c r="A21" s="2">
        <v>45</v>
      </c>
    </row>
    <row r="22" spans="1:1" x14ac:dyDescent="0.35">
      <c r="A22" s="2"/>
    </row>
  </sheetData>
  <mergeCells count="4">
    <mergeCell ref="A1:G1"/>
    <mergeCell ref="H1:N1"/>
    <mergeCell ref="O1:U1"/>
    <mergeCell ref="A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190E-7E51-4714-8F47-4697AEE573A5}">
  <dimension ref="A2:L43"/>
  <sheetViews>
    <sheetView zoomScale="77" workbookViewId="0">
      <selection activeCell="D10" sqref="D10"/>
    </sheetView>
  </sheetViews>
  <sheetFormatPr defaultRowHeight="14.5" x14ac:dyDescent="0.35"/>
  <cols>
    <col min="1" max="1" width="14.90625" customWidth="1"/>
    <col min="3" max="3" width="14.7265625" customWidth="1"/>
    <col min="6" max="6" width="13.6328125" customWidth="1"/>
    <col min="8" max="8" width="11.90625" customWidth="1"/>
  </cols>
  <sheetData>
    <row r="2" spans="1:9" x14ac:dyDescent="0.35">
      <c r="A2" s="8" t="s">
        <v>13</v>
      </c>
      <c r="B2" s="8"/>
      <c r="C2" s="8"/>
      <c r="D2" s="8"/>
      <c r="E2" s="8"/>
      <c r="F2" s="8"/>
      <c r="G2" s="8"/>
      <c r="H2" s="8"/>
      <c r="I2" s="8"/>
    </row>
    <row r="3" spans="1:9" x14ac:dyDescent="0.35">
      <c r="A3" s="8" t="s">
        <v>14</v>
      </c>
      <c r="B3" s="8"/>
      <c r="C3" s="8"/>
      <c r="D3" s="8"/>
      <c r="E3" s="8"/>
      <c r="F3" s="8"/>
      <c r="G3" s="8"/>
      <c r="H3" s="8"/>
      <c r="I3" s="8"/>
    </row>
    <row r="4" spans="1:9" x14ac:dyDescent="0.35">
      <c r="A4" s="8" t="s">
        <v>15</v>
      </c>
      <c r="B4" s="8"/>
      <c r="C4" s="8"/>
      <c r="D4" s="8"/>
      <c r="E4" s="8"/>
      <c r="F4" s="8"/>
      <c r="G4" s="8"/>
      <c r="H4" s="8"/>
      <c r="I4" s="8"/>
    </row>
    <row r="6" spans="1:9" x14ac:dyDescent="0.35">
      <c r="A6" s="3" t="s">
        <v>16</v>
      </c>
      <c r="C6" t="s">
        <v>3</v>
      </c>
      <c r="F6" s="3" t="s">
        <v>18</v>
      </c>
      <c r="H6" t="s">
        <v>3</v>
      </c>
    </row>
    <row r="7" spans="1:9" x14ac:dyDescent="0.35">
      <c r="A7" s="4">
        <v>11270</v>
      </c>
      <c r="F7" s="4">
        <v>13374</v>
      </c>
    </row>
    <row r="8" spans="1:9" x14ac:dyDescent="0.35">
      <c r="A8" s="4">
        <v>8220</v>
      </c>
      <c r="C8" t="s">
        <v>4</v>
      </c>
      <c r="D8" s="4">
        <f>AVERAGE(A7:A30)</f>
        <v>8421.1666666666661</v>
      </c>
      <c r="F8" s="4">
        <v>9278</v>
      </c>
      <c r="H8" t="s">
        <v>4</v>
      </c>
      <c r="I8" s="4">
        <f>AVERAGE(F7:F30)</f>
        <v>9810</v>
      </c>
    </row>
    <row r="9" spans="1:9" x14ac:dyDescent="0.35">
      <c r="A9" s="4">
        <v>5463</v>
      </c>
      <c r="C9" t="s">
        <v>17</v>
      </c>
      <c r="D9" s="4">
        <f>MEDIAN(A7:A30)</f>
        <v>8197</v>
      </c>
      <c r="F9" s="4">
        <v>6113</v>
      </c>
      <c r="H9" t="s">
        <v>17</v>
      </c>
      <c r="I9" s="4">
        <f>MEDIAN(F7:F30)</f>
        <v>9214.5</v>
      </c>
    </row>
    <row r="10" spans="1:9" x14ac:dyDescent="0.35">
      <c r="A10" s="4">
        <v>8739</v>
      </c>
      <c r="C10" t="s">
        <v>6</v>
      </c>
      <c r="D10" t="e">
        <f>MODE(A7:A30)</f>
        <v>#N/A</v>
      </c>
      <c r="F10" s="4">
        <v>9229</v>
      </c>
      <c r="H10" t="s">
        <v>6</v>
      </c>
      <c r="I10" t="e">
        <f>_xlfn.MODE.SNGL(F7:F30)</f>
        <v>#N/A</v>
      </c>
    </row>
    <row r="11" spans="1:9" x14ac:dyDescent="0.35">
      <c r="A11" s="4">
        <v>6199</v>
      </c>
      <c r="C11" t="s">
        <v>10</v>
      </c>
      <c r="D11">
        <f>(MAX(A7:A30)+MIN(A7:A30))/2</f>
        <v>9984.5</v>
      </c>
      <c r="F11" s="4">
        <v>10687</v>
      </c>
      <c r="H11" t="s">
        <v>10</v>
      </c>
      <c r="I11">
        <f>(MAX(F7:F30)+MIN(F7:F30))/2</f>
        <v>13345.5</v>
      </c>
    </row>
    <row r="12" spans="1:9" x14ac:dyDescent="0.35">
      <c r="A12" s="4">
        <v>10309</v>
      </c>
      <c r="F12" s="4">
        <v>11221</v>
      </c>
    </row>
    <row r="13" spans="1:9" x14ac:dyDescent="0.35">
      <c r="A13" s="4">
        <v>9964</v>
      </c>
      <c r="F13" s="4">
        <v>10823</v>
      </c>
    </row>
    <row r="14" spans="1:9" x14ac:dyDescent="0.35">
      <c r="A14" s="4">
        <v>14340</v>
      </c>
      <c r="F14" s="4">
        <v>14292</v>
      </c>
    </row>
    <row r="15" spans="1:9" x14ac:dyDescent="0.35">
      <c r="A15" s="4">
        <v>8825</v>
      </c>
      <c r="F15" s="4">
        <v>9200</v>
      </c>
    </row>
    <row r="16" spans="1:9" x14ac:dyDescent="0.35">
      <c r="A16" s="4">
        <v>5132</v>
      </c>
      <c r="F16" s="4">
        <v>4768</v>
      </c>
    </row>
    <row r="17" spans="1:6" x14ac:dyDescent="0.35">
      <c r="A17" s="4">
        <v>8174</v>
      </c>
      <c r="F17" s="4">
        <v>9656</v>
      </c>
    </row>
    <row r="18" spans="1:6" x14ac:dyDescent="0.35">
      <c r="A18" s="4">
        <v>5282</v>
      </c>
      <c r="F18" s="4">
        <v>21923</v>
      </c>
    </row>
    <row r="19" spans="1:6" x14ac:dyDescent="0.35">
      <c r="A19" s="4">
        <v>5307</v>
      </c>
      <c r="F19" s="4">
        <v>5319</v>
      </c>
    </row>
    <row r="20" spans="1:6" x14ac:dyDescent="0.35">
      <c r="A20" s="4">
        <v>14925</v>
      </c>
      <c r="F20" s="4">
        <v>15174</v>
      </c>
    </row>
    <row r="21" spans="1:6" x14ac:dyDescent="0.35">
      <c r="A21" s="4">
        <v>14849</v>
      </c>
      <c r="F21" s="4">
        <v>15864</v>
      </c>
    </row>
    <row r="22" spans="1:6" x14ac:dyDescent="0.35">
      <c r="A22" s="4">
        <v>5707</v>
      </c>
      <c r="F22" s="4">
        <v>5748</v>
      </c>
    </row>
    <row r="23" spans="1:6" x14ac:dyDescent="0.35">
      <c r="A23" s="4">
        <v>7439</v>
      </c>
      <c r="F23" s="4">
        <v>8133</v>
      </c>
    </row>
    <row r="24" spans="1:6" x14ac:dyDescent="0.35">
      <c r="A24" s="4">
        <v>8395</v>
      </c>
      <c r="F24" s="4">
        <v>9135</v>
      </c>
    </row>
    <row r="25" spans="1:6" x14ac:dyDescent="0.35">
      <c r="A25" s="4">
        <v>5044</v>
      </c>
      <c r="F25" s="4">
        <v>5784</v>
      </c>
    </row>
    <row r="26" spans="1:6" x14ac:dyDescent="0.35">
      <c r="A26" s="4">
        <v>7869</v>
      </c>
      <c r="F26" s="4">
        <v>8286</v>
      </c>
    </row>
    <row r="27" spans="1:6" x14ac:dyDescent="0.35">
      <c r="A27" s="4">
        <v>10493</v>
      </c>
      <c r="F27" s="4">
        <v>9126</v>
      </c>
    </row>
    <row r="28" spans="1:6" x14ac:dyDescent="0.35">
      <c r="A28" s="4">
        <v>8397</v>
      </c>
      <c r="F28" s="4">
        <v>9901</v>
      </c>
    </row>
    <row r="29" spans="1:6" x14ac:dyDescent="0.35">
      <c r="A29" s="4">
        <v>5094</v>
      </c>
      <c r="F29" s="4">
        <v>5445</v>
      </c>
    </row>
    <row r="30" spans="1:6" x14ac:dyDescent="0.35">
      <c r="A30" s="4">
        <v>6672</v>
      </c>
      <c r="F30" s="4">
        <v>6961</v>
      </c>
    </row>
    <row r="33" spans="1:12" ht="23.5" x14ac:dyDescent="0.35">
      <c r="A33" s="10" t="s">
        <v>23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2" x14ac:dyDescent="0.35">
      <c r="A34" s="5"/>
    </row>
    <row r="35" spans="1:12" x14ac:dyDescent="0.35">
      <c r="A35" s="9" t="s">
        <v>19</v>
      </c>
      <c r="B35" s="9"/>
      <c r="C35" s="9"/>
      <c r="D35" s="9"/>
      <c r="E35" s="9"/>
      <c r="F35" s="9"/>
      <c r="G35" s="9"/>
      <c r="H35" s="9"/>
      <c r="I35" s="9"/>
      <c r="J35" s="9"/>
    </row>
    <row r="36" spans="1:12" x14ac:dyDescent="0.35">
      <c r="A36" s="5"/>
    </row>
    <row r="37" spans="1:12" x14ac:dyDescent="0.35">
      <c r="A37" s="9" t="s">
        <v>20</v>
      </c>
      <c r="B37" s="9"/>
      <c r="C37" s="9"/>
      <c r="D37" s="9"/>
      <c r="E37" s="9"/>
      <c r="F37" s="9"/>
      <c r="G37" s="9"/>
      <c r="H37" s="9"/>
      <c r="I37" s="9"/>
      <c r="J37" s="9"/>
    </row>
    <row r="38" spans="1:12" x14ac:dyDescent="0.35">
      <c r="A38" s="5"/>
    </row>
    <row r="39" spans="1:12" x14ac:dyDescent="0.35">
      <c r="A39" s="9" t="s">
        <v>21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35">
      <c r="A40" s="5"/>
    </row>
    <row r="41" spans="1:12" x14ac:dyDescent="0.35">
      <c r="A41" s="9" t="s">
        <v>22</v>
      </c>
      <c r="B41" s="9"/>
      <c r="C41" s="9"/>
      <c r="D41" s="9"/>
      <c r="E41" s="9"/>
      <c r="F41" s="9"/>
      <c r="G41" s="9"/>
      <c r="H41" s="9"/>
    </row>
    <row r="43" spans="1:12" x14ac:dyDescent="0.35">
      <c r="A43" s="8" t="s">
        <v>24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</sheetData>
  <mergeCells count="9">
    <mergeCell ref="A39:L39"/>
    <mergeCell ref="A41:H41"/>
    <mergeCell ref="A43:L43"/>
    <mergeCell ref="A2:I2"/>
    <mergeCell ref="A3:I3"/>
    <mergeCell ref="A4:I4"/>
    <mergeCell ref="A33:K33"/>
    <mergeCell ref="A35:J35"/>
    <mergeCell ref="A37:J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2026-01-18T12:51:59Z</dcterms:created>
  <dcterms:modified xsi:type="dcterms:W3CDTF">2026-01-21T19:47:49Z</dcterms:modified>
</cp:coreProperties>
</file>