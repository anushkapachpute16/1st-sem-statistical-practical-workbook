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TS WORKBOOK\"/>
    </mc:Choice>
  </mc:AlternateContent>
  <xr:revisionPtr revIDLastSave="0" documentId="13_ncr:1_{E4A83158-0DF0-4998-B8D4-773E5DFC730E}" xr6:coauthVersionLast="47" xr6:coauthVersionMax="47" xr10:uidLastSave="{00000000-0000-0000-0000-000000000000}"/>
  <bookViews>
    <workbookView xWindow="-110" yWindow="-110" windowWidth="19420" windowHeight="10300" activeTab="2" xr2:uid="{2B93D1D4-A142-4C0F-9EBE-F0A29C6A8DD1}"/>
  </bookViews>
  <sheets>
    <sheet name="Sheet1" sheetId="1" r:id="rId1"/>
    <sheet name="Sheet2" sheetId="4" r:id="rId2"/>
    <sheet name="Sheet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5" l="1"/>
  <c r="I6" i="5" s="1"/>
  <c r="E3" i="5"/>
  <c r="F7" i="5" s="1"/>
  <c r="I7" i="5" s="1"/>
  <c r="D3" i="5"/>
  <c r="C5" i="5" s="1"/>
  <c r="H5" i="5" s="1"/>
  <c r="E3" i="4"/>
  <c r="D3" i="4"/>
  <c r="C7" i="1"/>
  <c r="G7" i="1" s="1"/>
  <c r="C8" i="1"/>
  <c r="C9" i="1"/>
  <c r="C10" i="1"/>
  <c r="C6" i="1"/>
  <c r="F10" i="1"/>
  <c r="E10" i="1"/>
  <c r="D10" i="1"/>
  <c r="G10" i="1"/>
  <c r="F9" i="1"/>
  <c r="E9" i="1"/>
  <c r="D9" i="1"/>
  <c r="G9" i="1"/>
  <c r="F8" i="1"/>
  <c r="E8" i="1"/>
  <c r="D8" i="1"/>
  <c r="G8" i="1"/>
  <c r="F7" i="1"/>
  <c r="E7" i="1"/>
  <c r="D7" i="1"/>
  <c r="H6" i="1"/>
  <c r="F6" i="1"/>
  <c r="E6" i="1"/>
  <c r="D6" i="1"/>
  <c r="G6" i="1"/>
  <c r="F5" i="5" l="1"/>
  <c r="I5" i="5" s="1"/>
  <c r="F3" i="5"/>
  <c r="I3" i="5" s="1"/>
  <c r="C7" i="5"/>
  <c r="H7" i="5" s="1"/>
  <c r="C4" i="5"/>
  <c r="H4" i="5" s="1"/>
  <c r="F4" i="5"/>
  <c r="I4" i="5" s="1"/>
  <c r="C3" i="5"/>
  <c r="H3" i="5" s="1"/>
  <c r="C6" i="5"/>
  <c r="H6" i="5" s="1"/>
  <c r="G11" i="1"/>
  <c r="J7" i="5" l="1"/>
</calcChain>
</file>

<file path=xl/sharedStrings.xml><?xml version="1.0" encoding="utf-8"?>
<sst xmlns="http://schemas.openxmlformats.org/spreadsheetml/2006/main" count="30" uniqueCount="20">
  <si>
    <t>Q1) Present the formula for estimating Covariance and Correlation</t>
  </si>
  <si>
    <t>X</t>
  </si>
  <si>
    <t>Y</t>
  </si>
  <si>
    <t>x − x̄</t>
  </si>
  <si>
    <t>Mean X</t>
  </si>
  <si>
    <t>Mean Y</t>
  </si>
  <si>
    <t>y − ȳ</t>
  </si>
  <si>
    <t>(x − x̄)(y − ȳ)Product of deviations</t>
  </si>
  <si>
    <t>Correlation</t>
  </si>
  <si>
    <t>Sample Covariance</t>
  </si>
  <si>
    <t>Q3) Compute Covariance and Correlation in Excel using hypothetical data and inbuilt formula and hence interpret the results</t>
  </si>
  <si>
    <t>Covariance</t>
  </si>
  <si>
    <t>Interpretation of Results</t>
  </si>
  <si>
    <r>
      <t xml:space="preserve">The </t>
    </r>
    <r>
      <rPr>
        <sz val="11"/>
        <color theme="1"/>
        <rFont val="Aptos Narrow"/>
        <family val="2"/>
        <scheme val="minor"/>
      </rPr>
      <t>positive covariance (207.5) indicates that X and Y move in the same direction.</t>
    </r>
  </si>
  <si>
    <r>
      <t xml:space="preserve">The </t>
    </r>
    <r>
      <rPr>
        <sz val="11"/>
        <color theme="1"/>
        <rFont val="Aptos Narrow"/>
        <family val="2"/>
        <scheme val="minor"/>
      </rPr>
      <t>correlation value (0.99) is very close to +1, showing a strong positive linear relationship between X and Y.</t>
    </r>
  </si>
  <si>
    <t>As values of X increase, values of Y also increase almost proportionally.</t>
  </si>
  <si>
    <t>Q4) Compute Covariance and Correlation in Excel without using inbuilt formula and thus match with previous result.</t>
  </si>
  <si>
    <t>(x − x̄)^2</t>
  </si>
  <si>
    <t>(y − ȳ)^2</t>
  </si>
  <si>
    <t>ASSIGNMENT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</si>
</sst>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left" vertical="center" indent="1"/>
    </xf>
    <xf numFmtId="0" fontId="0" fillId="0" borderId="4" xfId="0" applyBorder="1"/>
    <xf numFmtId="0" fontId="1" fillId="0" borderId="0" xfId="0" applyFont="1" applyAlignment="1">
      <alignment horizontal="center"/>
    </xf>
    <xf numFmtId="0" fontId="0" fillId="4" borderId="0" xfId="0" applyFill="1"/>
    <xf numFmtId="0" fontId="0" fillId="0" borderId="0" xfId="0" applyFill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7C820-77AD-4AD8-8EAA-08444992EC07}">
  <dimension ref="A1:J17"/>
  <sheetViews>
    <sheetView workbookViewId="0">
      <selection activeCell="G10" sqref="G10"/>
    </sheetView>
  </sheetViews>
  <sheetFormatPr defaultRowHeight="14.5" x14ac:dyDescent="0.35"/>
  <cols>
    <col min="7" max="7" width="16.6328125" customWidth="1"/>
  </cols>
  <sheetData>
    <row r="1" spans="1:10" x14ac:dyDescent="0.35">
      <c r="F1" s="9" t="s">
        <v>19</v>
      </c>
      <c r="G1" s="9"/>
      <c r="H1" s="9"/>
      <c r="I1" s="9"/>
      <c r="J1" s="9"/>
    </row>
    <row r="2" spans="1:10" x14ac:dyDescent="0.35">
      <c r="F2" s="9"/>
      <c r="G2" s="9"/>
      <c r="H2" s="9"/>
      <c r="I2" s="9"/>
      <c r="J2" s="9"/>
    </row>
    <row r="4" spans="1:10" s="10" customFormat="1" x14ac:dyDescent="0.35">
      <c r="A4" s="10" t="s">
        <v>0</v>
      </c>
    </row>
    <row r="5" spans="1:10" s="11" customFormat="1" x14ac:dyDescent="0.35">
      <c r="A5" s="11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G5" s="11" t="s">
        <v>7</v>
      </c>
    </row>
    <row r="6" spans="1:10" x14ac:dyDescent="0.35">
      <c r="A6">
        <v>10</v>
      </c>
      <c r="B6">
        <v>12</v>
      </c>
      <c r="C6">
        <f>A6-$D$6</f>
        <v>-20</v>
      </c>
      <c r="D6">
        <f>AVERAGE(A6:A10)</f>
        <v>30</v>
      </c>
      <c r="E6">
        <f>AVERAGE(B6:B10)</f>
        <v>27</v>
      </c>
      <c r="F6">
        <f>B6-$E$3</f>
        <v>12</v>
      </c>
      <c r="G6">
        <f>C6*F6</f>
        <v>-240</v>
      </c>
      <c r="H6" s="2">
        <f>CORREL(A6:A10,B6:B10)</f>
        <v>0.99345998948942704</v>
      </c>
      <c r="I6" s="2" t="s">
        <v>8</v>
      </c>
    </row>
    <row r="7" spans="1:10" x14ac:dyDescent="0.35">
      <c r="A7">
        <v>20</v>
      </c>
      <c r="B7">
        <v>18</v>
      </c>
      <c r="C7">
        <f t="shared" ref="C7:C10" si="0">A7-$D$6</f>
        <v>-10</v>
      </c>
      <c r="D7">
        <f t="shared" ref="D7:E10" si="1">AVERAGE(A7:A11)</f>
        <v>35</v>
      </c>
      <c r="E7">
        <f t="shared" si="1"/>
        <v>30.75</v>
      </c>
      <c r="F7">
        <f t="shared" ref="F7:F10" si="2">B7-$E$3</f>
        <v>18</v>
      </c>
      <c r="G7">
        <f t="shared" ref="G7:G10" si="3">C7*F7</f>
        <v>-180</v>
      </c>
    </row>
    <row r="8" spans="1:10" x14ac:dyDescent="0.35">
      <c r="A8">
        <v>30</v>
      </c>
      <c r="B8">
        <v>25</v>
      </c>
      <c r="C8">
        <f t="shared" si="0"/>
        <v>0</v>
      </c>
      <c r="D8">
        <f t="shared" si="1"/>
        <v>40</v>
      </c>
      <c r="E8">
        <f t="shared" si="1"/>
        <v>35</v>
      </c>
      <c r="F8">
        <f t="shared" si="2"/>
        <v>25</v>
      </c>
      <c r="G8">
        <f t="shared" si="3"/>
        <v>0</v>
      </c>
    </row>
    <row r="9" spans="1:10" x14ac:dyDescent="0.35">
      <c r="A9">
        <v>40</v>
      </c>
      <c r="B9">
        <v>35</v>
      </c>
      <c r="C9">
        <f t="shared" si="0"/>
        <v>10</v>
      </c>
      <c r="D9">
        <f t="shared" si="1"/>
        <v>45</v>
      </c>
      <c r="E9">
        <f t="shared" si="1"/>
        <v>40</v>
      </c>
      <c r="F9">
        <f t="shared" si="2"/>
        <v>35</v>
      </c>
      <c r="G9">
        <f t="shared" si="3"/>
        <v>350</v>
      </c>
    </row>
    <row r="10" spans="1:10" x14ac:dyDescent="0.35">
      <c r="A10">
        <v>50</v>
      </c>
      <c r="B10">
        <v>45</v>
      </c>
      <c r="C10">
        <f t="shared" si="0"/>
        <v>20</v>
      </c>
      <c r="D10">
        <f t="shared" si="1"/>
        <v>50</v>
      </c>
      <c r="E10">
        <f t="shared" si="1"/>
        <v>45</v>
      </c>
      <c r="F10">
        <f t="shared" si="2"/>
        <v>45</v>
      </c>
      <c r="G10">
        <f t="shared" si="3"/>
        <v>900</v>
      </c>
    </row>
    <row r="11" spans="1:10" x14ac:dyDescent="0.35">
      <c r="G11" s="2">
        <f>SUM(G6:G10)/(COUNT(A6:A10)-1)</f>
        <v>207.5</v>
      </c>
    </row>
    <row r="12" spans="1:10" x14ac:dyDescent="0.35">
      <c r="G12" s="2" t="s">
        <v>9</v>
      </c>
    </row>
    <row r="17" customFormat="1" x14ac:dyDescent="0.35"/>
  </sheetData>
  <mergeCells count="2">
    <mergeCell ref="F1:J2"/>
    <mergeCell ref="A4:XF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44EEE-3C9F-4193-B310-3C86103C0EDC}">
  <dimension ref="A1:L20"/>
  <sheetViews>
    <sheetView workbookViewId="0">
      <selection activeCell="L5" sqref="L5"/>
    </sheetView>
  </sheetViews>
  <sheetFormatPr defaultRowHeight="14.5" x14ac:dyDescent="0.35"/>
  <sheetData>
    <row r="1" spans="1:12" s="11" customFormat="1" x14ac:dyDescent="0.35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s="1" customFormat="1" x14ac:dyDescent="0.35">
      <c r="A2" s="3" t="s">
        <v>1</v>
      </c>
      <c r="B2" s="3" t="s">
        <v>2</v>
      </c>
      <c r="C2" s="3"/>
      <c r="D2" s="3" t="s">
        <v>11</v>
      </c>
      <c r="E2" s="3" t="s">
        <v>8</v>
      </c>
      <c r="F2" s="3"/>
      <c r="G2" s="3"/>
      <c r="H2" s="3"/>
      <c r="I2" s="3"/>
      <c r="J2" s="3"/>
      <c r="K2" s="3"/>
      <c r="L2" s="3"/>
    </row>
    <row r="3" spans="1:12" x14ac:dyDescent="0.35">
      <c r="A3" s="4">
        <v>10</v>
      </c>
      <c r="B3" s="4">
        <v>12</v>
      </c>
      <c r="C3" s="4"/>
      <c r="D3" s="4">
        <f>_xlfn.COVARIANCE.S(A3:A7,B3:B7)</f>
        <v>207.5</v>
      </c>
      <c r="E3" s="4">
        <f>CORREL(A3:A7,B3:B7)</f>
        <v>0.99345998948942704</v>
      </c>
      <c r="F3" s="4"/>
      <c r="G3" s="4"/>
      <c r="H3" s="4"/>
      <c r="I3" s="4"/>
      <c r="J3" s="4"/>
      <c r="K3" s="4"/>
      <c r="L3" s="4"/>
    </row>
    <row r="4" spans="1:12" x14ac:dyDescent="0.35">
      <c r="A4" s="4">
        <v>20</v>
      </c>
      <c r="B4" s="4">
        <v>18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35">
      <c r="A5" s="4">
        <v>30</v>
      </c>
      <c r="B5" s="4">
        <v>25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35">
      <c r="A6" s="4">
        <v>40</v>
      </c>
      <c r="B6" s="4">
        <v>35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35">
      <c r="A7" s="4">
        <v>50</v>
      </c>
      <c r="B7" s="4">
        <v>45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35">
      <c r="A10" s="4"/>
      <c r="B10" s="4"/>
      <c r="C10" s="4"/>
      <c r="D10" s="4"/>
      <c r="E10" s="4"/>
      <c r="F10" s="4"/>
      <c r="G10" s="5"/>
      <c r="H10" s="5"/>
      <c r="I10" s="5"/>
      <c r="J10" s="5"/>
      <c r="K10" s="5"/>
      <c r="L10" s="4"/>
    </row>
    <row r="11" spans="1:12" x14ac:dyDescent="0.35">
      <c r="A11" s="4"/>
      <c r="B11" s="4"/>
      <c r="C11" s="4"/>
      <c r="D11" s="4"/>
      <c r="E11" s="4"/>
      <c r="F11" s="6"/>
      <c r="G11" s="11" t="s">
        <v>12</v>
      </c>
      <c r="L11" s="4"/>
    </row>
    <row r="12" spans="1:12" x14ac:dyDescent="0.35">
      <c r="A12" s="4"/>
      <c r="B12" s="4"/>
      <c r="C12" s="4"/>
      <c r="D12" s="4"/>
      <c r="E12" s="4"/>
      <c r="F12" s="6"/>
      <c r="G12" s="7"/>
      <c r="L12" s="4"/>
    </row>
    <row r="13" spans="1:12" x14ac:dyDescent="0.35">
      <c r="A13" s="4"/>
      <c r="B13" s="4"/>
      <c r="C13" s="4"/>
      <c r="D13" s="4"/>
      <c r="E13" s="4"/>
      <c r="F13" s="6"/>
      <c r="G13" s="7" t="s">
        <v>13</v>
      </c>
      <c r="L13" s="4"/>
    </row>
    <row r="14" spans="1:12" x14ac:dyDescent="0.35">
      <c r="A14" s="4"/>
      <c r="B14" s="4"/>
      <c r="C14" s="4"/>
      <c r="D14" s="4"/>
      <c r="E14" s="4"/>
      <c r="F14" s="6"/>
      <c r="G14" s="7"/>
      <c r="L14" s="4"/>
    </row>
    <row r="15" spans="1:12" x14ac:dyDescent="0.35">
      <c r="A15" s="4"/>
      <c r="B15" s="4"/>
      <c r="C15" s="4"/>
      <c r="D15" s="4"/>
      <c r="E15" s="4"/>
      <c r="F15" s="6"/>
      <c r="G15" s="7" t="s">
        <v>14</v>
      </c>
      <c r="L15" s="4"/>
    </row>
    <row r="16" spans="1:12" x14ac:dyDescent="0.35">
      <c r="A16" s="4"/>
      <c r="B16" s="4"/>
      <c r="C16" s="4"/>
      <c r="D16" s="4"/>
      <c r="E16" s="4"/>
      <c r="F16" s="6"/>
      <c r="G16" s="7"/>
      <c r="L16" s="4"/>
    </row>
    <row r="17" spans="1:12" x14ac:dyDescent="0.35">
      <c r="A17" s="4"/>
      <c r="B17" s="4"/>
      <c r="C17" s="4"/>
      <c r="D17" s="4"/>
      <c r="E17" s="4"/>
      <c r="F17" s="6"/>
      <c r="G17" s="7" t="s">
        <v>15</v>
      </c>
      <c r="L17" s="4"/>
    </row>
    <row r="18" spans="1:12" x14ac:dyDescent="0.35">
      <c r="A18" s="4"/>
      <c r="B18" s="4"/>
      <c r="C18" s="4"/>
      <c r="D18" s="4"/>
      <c r="E18" s="4"/>
      <c r="F18" s="4"/>
      <c r="G18" s="8"/>
      <c r="H18" s="8"/>
      <c r="I18" s="8"/>
      <c r="J18" s="8"/>
      <c r="K18" s="8"/>
      <c r="L18" s="4"/>
    </row>
    <row r="19" spans="1:12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F6D3-CEA6-4970-88BE-A5C1B97A9FEB}">
  <dimension ref="A1:K7"/>
  <sheetViews>
    <sheetView tabSelected="1" workbookViewId="0">
      <selection activeCell="J7" sqref="J7:K7"/>
    </sheetView>
  </sheetViews>
  <sheetFormatPr defaultRowHeight="14.5" x14ac:dyDescent="0.35"/>
  <sheetData>
    <row r="1" spans="1:11" s="10" customFormat="1" x14ac:dyDescent="0.35">
      <c r="A1" s="10" t="s">
        <v>16</v>
      </c>
    </row>
    <row r="2" spans="1:11" s="11" customFormat="1" x14ac:dyDescent="0.35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/>
      <c r="H2" s="12" t="s">
        <v>17</v>
      </c>
      <c r="I2" s="12" t="s">
        <v>18</v>
      </c>
    </row>
    <row r="3" spans="1:11" x14ac:dyDescent="0.35">
      <c r="A3">
        <v>10</v>
      </c>
      <c r="B3">
        <v>12</v>
      </c>
      <c r="C3">
        <f>A3-$D$3</f>
        <v>-20</v>
      </c>
      <c r="D3" s="11">
        <f>AVERAGE(A3:A7)</f>
        <v>30</v>
      </c>
      <c r="E3" s="11">
        <f>AVERAGE(B3:B7)</f>
        <v>27</v>
      </c>
      <c r="F3">
        <f>B3-$E$3</f>
        <v>-15</v>
      </c>
      <c r="H3">
        <f>C3^2</f>
        <v>400</v>
      </c>
      <c r="I3">
        <f>F3^2</f>
        <v>225</v>
      </c>
    </row>
    <row r="4" spans="1:11" x14ac:dyDescent="0.35">
      <c r="A4">
        <v>20</v>
      </c>
      <c r="B4">
        <v>18</v>
      </c>
      <c r="C4">
        <f t="shared" ref="C4:C7" si="0">A4-$D$3</f>
        <v>-10</v>
      </c>
      <c r="F4">
        <f t="shared" ref="F4:F7" si="1">B4-$E$3</f>
        <v>-9</v>
      </c>
      <c r="H4">
        <f t="shared" ref="H4:H7" si="2">C4^2</f>
        <v>100</v>
      </c>
      <c r="I4">
        <f t="shared" ref="I4:I7" si="3">F4^2</f>
        <v>81</v>
      </c>
    </row>
    <row r="5" spans="1:11" x14ac:dyDescent="0.35">
      <c r="A5">
        <v>30</v>
      </c>
      <c r="B5">
        <v>25</v>
      </c>
      <c r="C5">
        <f t="shared" si="0"/>
        <v>0</v>
      </c>
      <c r="F5">
        <f t="shared" si="1"/>
        <v>-2</v>
      </c>
      <c r="H5">
        <f t="shared" si="2"/>
        <v>0</v>
      </c>
      <c r="I5">
        <f t="shared" si="3"/>
        <v>4</v>
      </c>
    </row>
    <row r="6" spans="1:11" x14ac:dyDescent="0.35">
      <c r="A6">
        <v>40</v>
      </c>
      <c r="B6">
        <v>35</v>
      </c>
      <c r="C6">
        <f t="shared" si="0"/>
        <v>10</v>
      </c>
      <c r="F6">
        <f t="shared" si="1"/>
        <v>8</v>
      </c>
      <c r="H6">
        <f t="shared" si="2"/>
        <v>100</v>
      </c>
      <c r="I6">
        <f t="shared" si="3"/>
        <v>64</v>
      </c>
    </row>
    <row r="7" spans="1:11" x14ac:dyDescent="0.35">
      <c r="A7">
        <v>50</v>
      </c>
      <c r="B7">
        <v>45</v>
      </c>
      <c r="C7">
        <f t="shared" si="0"/>
        <v>20</v>
      </c>
      <c r="F7">
        <f t="shared" si="1"/>
        <v>18</v>
      </c>
      <c r="H7">
        <f t="shared" si="2"/>
        <v>400</v>
      </c>
      <c r="I7">
        <f t="shared" si="3"/>
        <v>324</v>
      </c>
      <c r="J7" s="11">
        <f>SUM(G3:G7)/SQRT(SUM(H3:H7)*SUM(I3:I7))</f>
        <v>0</v>
      </c>
      <c r="K7" s="11" t="s">
        <v>8</v>
      </c>
    </row>
  </sheetData>
  <mergeCells count="1">
    <mergeCell ref="A1:XF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</dc:creator>
  <cp:lastModifiedBy>SDBI</cp:lastModifiedBy>
  <dcterms:created xsi:type="dcterms:W3CDTF">2026-01-21T19:28:09Z</dcterms:created>
  <dcterms:modified xsi:type="dcterms:W3CDTF">2026-01-22T04:00:39Z</dcterms:modified>
</cp:coreProperties>
</file>